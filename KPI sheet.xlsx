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ttehummel/Library/Mobile Documents/com~apple~CloudDocs/CLUB FamilyMind 2.0/Subscrybe/"/>
    </mc:Choice>
  </mc:AlternateContent>
  <xr:revisionPtr revIDLastSave="0" documentId="13_ncr:1_{6952F9B9-2875-5D4E-8EC8-16D139A4D446}" xr6:coauthVersionLast="47" xr6:coauthVersionMax="47" xr10:uidLastSave="{00000000-0000-0000-0000-000000000000}"/>
  <bookViews>
    <workbookView xWindow="0" yWindow="500" windowWidth="28800" windowHeight="16420" xr2:uid="{00C9B9F1-7EA5-49E0-A5BD-552D378B0D85}"/>
  </bookViews>
  <sheets>
    <sheet name="KPI 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6" l="1"/>
  <c r="D15" i="6"/>
  <c r="E15" i="6"/>
  <c r="E5" i="6"/>
  <c r="B13" i="6"/>
  <c r="D13" i="6"/>
  <c r="D5" i="6"/>
  <c r="B162" i="6"/>
  <c r="B159" i="6"/>
  <c r="B156" i="6"/>
  <c r="B150" i="6"/>
  <c r="B148" i="6"/>
  <c r="B15" i="6"/>
  <c r="B5" i="6"/>
  <c r="A159" i="6"/>
  <c r="A156" i="6"/>
  <c r="A150" i="6"/>
  <c r="A148" i="6"/>
  <c r="C15" i="6"/>
  <c r="F5" i="6"/>
  <c r="G5" i="6"/>
  <c r="H5" i="6"/>
  <c r="I5" i="6"/>
  <c r="J5" i="6"/>
  <c r="K5" i="6"/>
  <c r="L5" i="6"/>
  <c r="M5" i="6"/>
  <c r="N5" i="6"/>
  <c r="C5" i="6"/>
  <c r="C13" i="6"/>
  <c r="E13" i="6"/>
  <c r="G13" i="6"/>
  <c r="H13" i="6"/>
  <c r="I13" i="6"/>
  <c r="J13" i="6"/>
  <c r="K13" i="6"/>
  <c r="L13" i="6"/>
  <c r="M13" i="6"/>
  <c r="N13" i="6"/>
  <c r="F15" i="6"/>
  <c r="G15" i="6"/>
  <c r="H15" i="6"/>
  <c r="I15" i="6"/>
  <c r="J15" i="6"/>
  <c r="K15" i="6"/>
  <c r="L15" i="6"/>
  <c r="M15" i="6"/>
  <c r="N15" i="6"/>
  <c r="L162" i="6" l="1"/>
  <c r="K162" i="6"/>
  <c r="J159" i="6"/>
  <c r="I162" i="6"/>
  <c r="H162" i="6"/>
  <c r="G162" i="6"/>
  <c r="F162" i="6"/>
  <c r="E162" i="6"/>
  <c r="D162" i="6"/>
  <c r="C162" i="6"/>
  <c r="L159" i="6"/>
  <c r="K159" i="6"/>
  <c r="J156" i="6"/>
  <c r="I159" i="6"/>
  <c r="H159" i="6"/>
  <c r="G159" i="6"/>
  <c r="F159" i="6"/>
  <c r="E159" i="6"/>
  <c r="D159" i="6"/>
  <c r="C159" i="6"/>
  <c r="L156" i="6"/>
  <c r="K156" i="6"/>
  <c r="J153" i="6"/>
  <c r="I156" i="6"/>
  <c r="H156" i="6"/>
  <c r="G156" i="6"/>
  <c r="F156" i="6"/>
  <c r="E156" i="6"/>
  <c r="D156" i="6"/>
  <c r="C156" i="6"/>
  <c r="L150" i="6"/>
  <c r="K150" i="6"/>
  <c r="J147" i="6"/>
  <c r="I150" i="6"/>
  <c r="H150" i="6"/>
  <c r="G150" i="6"/>
  <c r="F150" i="6"/>
  <c r="E150" i="6"/>
  <c r="C150" i="6"/>
  <c r="L148" i="6"/>
  <c r="K148" i="6"/>
  <c r="J145" i="6"/>
  <c r="I148" i="6"/>
  <c r="H148" i="6"/>
  <c r="G148" i="6"/>
  <c r="F148" i="6"/>
  <c r="E148" i="6"/>
  <c r="D148" i="6"/>
  <c r="D150" i="6" s="1"/>
  <c r="C148" i="6"/>
</calcChain>
</file>

<file path=xl/sharedStrings.xml><?xml version="1.0" encoding="utf-8"?>
<sst xmlns="http://schemas.openxmlformats.org/spreadsheetml/2006/main" count="30" uniqueCount="26">
  <si>
    <t>Ultimo måned</t>
  </si>
  <si>
    <t>MRR (Monthly recurring revenue) ultimo ex moms.</t>
  </si>
  <si>
    <t>ARPS (average revenue per subscriber) ultimo ex. Moms</t>
  </si>
  <si>
    <t/>
  </si>
  <si>
    <t>Antal abonnenter (ultimo)</t>
  </si>
  <si>
    <t xml:space="preserve">Acqusition (antal tilgange) </t>
  </si>
  <si>
    <t xml:space="preserve">CAC (customer acquisition cost) </t>
  </si>
  <si>
    <t>CAC per new subscriber ex moms</t>
  </si>
  <si>
    <t xml:space="preserve"> -</t>
  </si>
  <si>
    <t>-</t>
  </si>
  <si>
    <t>Churn månedligt</t>
  </si>
  <si>
    <t>Monthly membership</t>
  </si>
  <si>
    <t>6 month membeship</t>
  </si>
  <si>
    <t>12 months membership</t>
  </si>
  <si>
    <t>Others</t>
  </si>
  <si>
    <t>Udmeldte medlemmer</t>
  </si>
  <si>
    <t>*Tallene udtrækkes den 1. i den efterfølgende måned</t>
  </si>
  <si>
    <t>CAC (customer acquisition cost) </t>
  </si>
  <si>
    <t>Det samlede økonomi, som er brugt på markedsføring</t>
  </si>
  <si>
    <t>Hvor meget har det kostet at få 1 kunde (udregnes samlet markedsføring / antal nye medlemmer i perioden)</t>
  </si>
  <si>
    <t>Medlemmer</t>
  </si>
  <si>
    <t>Her kan man indsætte tallene</t>
  </si>
  <si>
    <t>Automatisk udregning</t>
  </si>
  <si>
    <t xml:space="preserve">Acqusition Free Trial (antal tilgange) </t>
  </si>
  <si>
    <t>Udmeldte medlemmer - Free Trial</t>
  </si>
  <si>
    <t>22.5%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</si>
</sst>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kr.&quot;;[Red]\-#,##0.00\ &quot;kr.&quot;"/>
    <numFmt numFmtId="44" formatCode="_-* #,##0.00\ &quot;kr.&quot;_-;\-* #,##0.00\ &quot;kr.&quot;_-;_-* &quot;-&quot;??\ &quot;kr.&quot;_-;_-@_-"/>
    <numFmt numFmtId="164" formatCode="_-* #,##0.00\ [$kr.-406]_-;\-* #,##0.00\ [$kr.-406]_-;_-* &quot;-&quot;??\ [$kr.-406]_-;_-@_-"/>
    <numFmt numFmtId="165" formatCode="0.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212121"/>
      <name val="PT Sans"/>
      <family val="2"/>
      <charset val="204"/>
    </font>
    <font>
      <b/>
      <sz val="10"/>
      <color rgb="FF212121"/>
      <name val="PT Sans"/>
      <family val="2"/>
      <charset val="204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4"/>
      <color rgb="FF1C2B33"/>
      <name val="Helvetica"/>
      <family val="2"/>
    </font>
    <font>
      <i/>
      <sz val="11"/>
      <color theme="1"/>
      <name val="Calibri"/>
      <family val="2"/>
      <scheme val="minor"/>
    </font>
    <font>
      <sz val="11"/>
      <color rgb="FF1C2B33"/>
      <name val="Inherit"/>
    </font>
    <font>
      <sz val="20"/>
      <color rgb="FF353A44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44" fontId="0" fillId="0" borderId="1" xfId="1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6" fillId="0" borderId="0" xfId="0" applyFont="1"/>
    <xf numFmtId="1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2" fillId="2" borderId="1" xfId="0" applyFont="1" applyFill="1" applyBorder="1"/>
    <xf numFmtId="164" fontId="0" fillId="2" borderId="1" xfId="0" applyNumberFormat="1" applyFill="1" applyBorder="1"/>
    <xf numFmtId="1" fontId="0" fillId="2" borderId="1" xfId="0" applyNumberFormat="1" applyFill="1" applyBorder="1"/>
    <xf numFmtId="17" fontId="2" fillId="2" borderId="1" xfId="0" applyNumberFormat="1" applyFont="1" applyFill="1" applyBorder="1"/>
    <xf numFmtId="1" fontId="0" fillId="0" borderId="1" xfId="0" applyNumberFormat="1" applyBorder="1" applyAlignment="1">
      <alignment horizontal="right"/>
    </xf>
    <xf numFmtId="9" fontId="0" fillId="0" borderId="1" xfId="2" applyFont="1" applyBorder="1" applyAlignment="1">
      <alignment horizontal="right"/>
    </xf>
    <xf numFmtId="164" fontId="0" fillId="0" borderId="1" xfId="0" applyNumberFormat="1" applyBorder="1"/>
    <xf numFmtId="0" fontId="2" fillId="0" borderId="0" xfId="0" applyFont="1"/>
    <xf numFmtId="9" fontId="0" fillId="0" borderId="1" xfId="0" applyNumberFormat="1" applyBorder="1" applyAlignment="1">
      <alignment horizontal="right"/>
    </xf>
    <xf numFmtId="165" fontId="0" fillId="0" borderId="1" xfId="2" applyNumberFormat="1" applyFont="1" applyFill="1" applyBorder="1"/>
    <xf numFmtId="0" fontId="0" fillId="2" borderId="1" xfId="0" quotePrefix="1" applyFill="1" applyBorder="1" applyAlignment="1">
      <alignment horizontal="right"/>
    </xf>
    <xf numFmtId="44" fontId="0" fillId="0" borderId="1" xfId="1" applyFont="1" applyFill="1" applyBorder="1"/>
    <xf numFmtId="0" fontId="0" fillId="3" borderId="1" xfId="0" applyFill="1" applyBorder="1"/>
    <xf numFmtId="44" fontId="0" fillId="3" borderId="1" xfId="1" applyFont="1" applyFill="1" applyBorder="1" applyAlignment="1">
      <alignment horizontal="right"/>
    </xf>
    <xf numFmtId="44" fontId="0" fillId="3" borderId="1" xfId="1" applyFont="1" applyFill="1" applyBorder="1"/>
    <xf numFmtId="164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1" fontId="0" fillId="3" borderId="1" xfId="0" applyNumberFormat="1" applyFill="1" applyBorder="1"/>
    <xf numFmtId="164" fontId="0" fillId="3" borderId="1" xfId="0" applyNumberFormat="1" applyFill="1" applyBorder="1" applyAlignment="1">
      <alignment horizontal="right"/>
    </xf>
    <xf numFmtId="165" fontId="0" fillId="4" borderId="1" xfId="2" applyNumberFormat="1" applyFont="1" applyFill="1" applyBorder="1"/>
    <xf numFmtId="44" fontId="0" fillId="4" borderId="1" xfId="1" applyFont="1" applyFill="1" applyBorder="1"/>
    <xf numFmtId="0" fontId="5" fillId="3" borderId="0" xfId="0" applyFont="1" applyFill="1"/>
    <xf numFmtId="0" fontId="5" fillId="4" borderId="0" xfId="0" applyFont="1" applyFill="1"/>
    <xf numFmtId="0" fontId="8" fillId="0" borderId="0" xfId="0" applyFont="1"/>
    <xf numFmtId="0" fontId="9" fillId="2" borderId="1" xfId="0" applyFont="1" applyFill="1" applyBorder="1" applyAlignment="1">
      <alignment horizontal="right"/>
    </xf>
    <xf numFmtId="4" fontId="8" fillId="0" borderId="0" xfId="0" applyNumberFormat="1" applyFont="1"/>
    <xf numFmtId="0" fontId="9" fillId="2" borderId="1" xfId="0" applyFont="1" applyFill="1" applyBorder="1"/>
    <xf numFmtId="8" fontId="10" fillId="0" borderId="0" xfId="0" applyNumberFormat="1" applyFont="1"/>
    <xf numFmtId="8" fontId="0" fillId="3" borderId="1" xfId="1" applyNumberFormat="1" applyFont="1" applyFill="1" applyBorder="1"/>
    <xf numFmtId="0" fontId="11" fillId="0" borderId="0" xfId="0" applyFont="1"/>
  </cellXfs>
  <cellStyles count="3">
    <cellStyle name="Normal" xfId="0" builtinId="0"/>
    <cellStyle name="Procent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Medlemsudvikling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'!$B$174:$L$174</c:f>
              <c:numCache>
                <c:formatCode>mmm\-yy</c:formatCode>
                <c:ptCount val="11"/>
                <c:pt idx="0">
                  <c:v>45047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9">
                  <c:v>45292</c:v>
                </c:pt>
                <c:pt idx="10">
                  <c:v>45323</c:v>
                </c:pt>
              </c:numCache>
            </c:numRef>
          </c:cat>
          <c:val>
            <c:numRef>
              <c:f>'KPI '!$B$175:$L$175</c:f>
              <c:numCache>
                <c:formatCode>General</c:formatCode>
                <c:ptCount val="11"/>
                <c:pt idx="0">
                  <c:v>1285</c:v>
                </c:pt>
                <c:pt idx="1">
                  <c:v>1285</c:v>
                </c:pt>
                <c:pt idx="2">
                  <c:v>1261</c:v>
                </c:pt>
                <c:pt idx="3">
                  <c:v>1134</c:v>
                </c:pt>
                <c:pt idx="4">
                  <c:v>1287</c:v>
                </c:pt>
                <c:pt idx="5">
                  <c:v>1148</c:v>
                </c:pt>
                <c:pt idx="6">
                  <c:v>1300</c:v>
                </c:pt>
                <c:pt idx="7">
                  <c:v>1405</c:v>
                </c:pt>
                <c:pt idx="9">
                  <c:v>1230</c:v>
                </c:pt>
                <c:pt idx="10">
                  <c:v>1288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E-B040-A26A-12C3F7849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680624"/>
        <c:axId val="150921680"/>
      </c:lineChart>
      <c:dateAx>
        <c:axId val="3756806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0921680"/>
        <c:crosses val="autoZero"/>
        <c:auto val="1"/>
        <c:lblOffset val="100"/>
        <c:baseTimeUnit val="months"/>
      </c:dateAx>
      <c:valAx>
        <c:axId val="1509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756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Medlemsfrafald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'!$B$195:$L$195</c:f>
              <c:numCache>
                <c:formatCode>mmm\-yy</c:formatCode>
                <c:ptCount val="11"/>
                <c:pt idx="0">
                  <c:v>45047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9">
                  <c:v>45292</c:v>
                </c:pt>
                <c:pt idx="10">
                  <c:v>45323</c:v>
                </c:pt>
              </c:numCache>
            </c:numRef>
          </c:cat>
          <c:val>
            <c:numRef>
              <c:f>'KPI '!$B$196:$L$196</c:f>
              <c:numCache>
                <c:formatCode>General</c:formatCode>
                <c:ptCount val="11"/>
                <c:pt idx="0">
                  <c:v>232</c:v>
                </c:pt>
                <c:pt idx="1">
                  <c:v>232</c:v>
                </c:pt>
                <c:pt idx="2">
                  <c:v>193</c:v>
                </c:pt>
                <c:pt idx="3">
                  <c:v>153</c:v>
                </c:pt>
                <c:pt idx="4">
                  <c:v>203</c:v>
                </c:pt>
                <c:pt idx="5">
                  <c:v>215</c:v>
                </c:pt>
                <c:pt idx="6">
                  <c:v>176</c:v>
                </c:pt>
                <c:pt idx="7">
                  <c:v>165</c:v>
                </c:pt>
                <c:pt idx="9">
                  <c:v>189</c:v>
                </c:pt>
                <c:pt idx="10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D-A54C-8E1A-11D4C8B1A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033984"/>
        <c:axId val="456040320"/>
      </c:lineChart>
      <c:dateAx>
        <c:axId val="4560339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456040320"/>
        <c:crosses val="autoZero"/>
        <c:auto val="1"/>
        <c:lblOffset val="100"/>
        <c:baseTimeUnit val="months"/>
      </c:dateAx>
      <c:valAx>
        <c:axId val="4560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45603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Medlemsudvikling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'!$B$174:$L$174</c:f>
              <c:numCache>
                <c:formatCode>mmm\-yy</c:formatCode>
                <c:ptCount val="11"/>
                <c:pt idx="0">
                  <c:v>45047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9">
                  <c:v>45292</c:v>
                </c:pt>
                <c:pt idx="10">
                  <c:v>45323</c:v>
                </c:pt>
              </c:numCache>
            </c:numRef>
          </c:cat>
          <c:val>
            <c:numRef>
              <c:f>'KPI '!$B$175:$L$175</c:f>
              <c:numCache>
                <c:formatCode>General</c:formatCode>
                <c:ptCount val="11"/>
                <c:pt idx="0">
                  <c:v>1285</c:v>
                </c:pt>
                <c:pt idx="1">
                  <c:v>1285</c:v>
                </c:pt>
                <c:pt idx="2">
                  <c:v>1261</c:v>
                </c:pt>
                <c:pt idx="3">
                  <c:v>1134</c:v>
                </c:pt>
                <c:pt idx="4">
                  <c:v>1287</c:v>
                </c:pt>
                <c:pt idx="5">
                  <c:v>1148</c:v>
                </c:pt>
                <c:pt idx="6">
                  <c:v>1300</c:v>
                </c:pt>
                <c:pt idx="7">
                  <c:v>1405</c:v>
                </c:pt>
                <c:pt idx="9">
                  <c:v>1230</c:v>
                </c:pt>
                <c:pt idx="10">
                  <c:v>1288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1-F044-A9C2-E764C5319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680624"/>
        <c:axId val="150921680"/>
      </c:lineChart>
      <c:dateAx>
        <c:axId val="3756806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0921680"/>
        <c:crosses val="autoZero"/>
        <c:auto val="1"/>
        <c:lblOffset val="100"/>
        <c:baseTimeUnit val="months"/>
      </c:dateAx>
      <c:valAx>
        <c:axId val="1509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756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992909</xdr:colOff>
      <xdr:row>177</xdr:row>
      <xdr:rowOff>135084</xdr:rowOff>
    </xdr:from>
    <xdr:to>
      <xdr:col>3</xdr:col>
      <xdr:colOff>727364</xdr:colOff>
      <xdr:row>191</xdr:row>
      <xdr:rowOff>130465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198D4710-4108-339E-6D22-EE61F1EC0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184728</xdr:colOff>
      <xdr:row>177</xdr:row>
      <xdr:rowOff>158173</xdr:rowOff>
    </xdr:from>
    <xdr:to>
      <xdr:col>8</xdr:col>
      <xdr:colOff>669637</xdr:colOff>
      <xdr:row>191</xdr:row>
      <xdr:rowOff>153554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61BE59A0-7757-D765-B126-BFC76C1C0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992909</xdr:colOff>
      <xdr:row>177</xdr:row>
      <xdr:rowOff>135084</xdr:rowOff>
    </xdr:from>
    <xdr:to>
      <xdr:col>2</xdr:col>
      <xdr:colOff>727364</xdr:colOff>
      <xdr:row>191</xdr:row>
      <xdr:rowOff>130465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9A91E76-37C0-E34A-8F0E-D8A4CDCB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2C90-59F2-5742-A4F1-01899006E469}">
  <dimension ref="A1:N196"/>
  <sheetViews>
    <sheetView tabSelected="1" topLeftCell="B1" zoomScale="120" zoomScaleNormal="120" workbookViewId="0">
      <selection activeCell="L3" sqref="L3"/>
    </sheetView>
  </sheetViews>
  <sheetFormatPr baseColWidth="10" defaultColWidth="8.83203125" defaultRowHeight="15"/>
  <cols>
    <col min="1" max="1" width="44.5" customWidth="1"/>
    <col min="2" max="3" width="17.1640625" customWidth="1"/>
    <col min="4" max="7" width="14.6640625" customWidth="1"/>
    <col min="8" max="8" width="14.5" customWidth="1"/>
    <col min="9" max="9" width="14.6640625" bestFit="1" customWidth="1"/>
    <col min="10" max="10" width="16.5" customWidth="1"/>
    <col min="11" max="11" width="14.6640625" bestFit="1" customWidth="1"/>
    <col min="12" max="12" width="17" customWidth="1"/>
    <col min="13" max="13" width="14.5" customWidth="1"/>
    <col min="14" max="14" width="14.6640625" bestFit="1" customWidth="1"/>
  </cols>
  <sheetData>
    <row r="1" spans="1:14">
      <c r="A1" s="13" t="s">
        <v>0</v>
      </c>
      <c r="B1" s="16">
        <v>45627</v>
      </c>
      <c r="C1" s="16">
        <v>45658</v>
      </c>
      <c r="D1" s="16">
        <v>45689</v>
      </c>
      <c r="E1" s="16">
        <v>45352</v>
      </c>
      <c r="F1" s="16">
        <v>45383</v>
      </c>
      <c r="G1" s="16">
        <v>45413</v>
      </c>
      <c r="H1" s="16">
        <v>45444</v>
      </c>
      <c r="I1" s="16">
        <v>45474</v>
      </c>
      <c r="J1" s="16">
        <v>45505</v>
      </c>
      <c r="K1" s="16">
        <v>45536</v>
      </c>
      <c r="L1" s="16">
        <v>45566</v>
      </c>
      <c r="M1" s="16">
        <v>45597</v>
      </c>
      <c r="N1" s="16">
        <v>45627</v>
      </c>
    </row>
    <row r="2" spans="1:14">
      <c r="A2" s="11"/>
      <c r="B2" s="11"/>
      <c r="C2" s="11"/>
      <c r="D2" s="37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2" t="s">
        <v>1</v>
      </c>
      <c r="B3" s="27">
        <v>2467</v>
      </c>
      <c r="C3" s="27">
        <v>10140</v>
      </c>
      <c r="D3" s="31">
        <v>14016</v>
      </c>
      <c r="E3" s="27">
        <v>25998.799999999999</v>
      </c>
      <c r="F3" s="27">
        <v>33092.800000000003</v>
      </c>
      <c r="G3" s="28">
        <v>35641.800000000003</v>
      </c>
      <c r="H3" s="27">
        <v>40113.800000000003</v>
      </c>
      <c r="I3" s="27">
        <v>46527.4</v>
      </c>
      <c r="J3" s="27">
        <v>49180.2</v>
      </c>
      <c r="K3" s="27">
        <v>47765.2</v>
      </c>
      <c r="L3" s="27">
        <v>1</v>
      </c>
      <c r="M3" s="27">
        <v>1</v>
      </c>
      <c r="N3" s="27">
        <v>1</v>
      </c>
    </row>
    <row r="4" spans="1:14">
      <c r="A4" s="13"/>
      <c r="B4" s="11"/>
      <c r="C4" s="11"/>
      <c r="D4" s="12"/>
      <c r="E4" s="14"/>
      <c r="F4" s="11"/>
      <c r="G4" s="11"/>
      <c r="H4" s="11"/>
      <c r="I4" s="11"/>
      <c r="J4" s="11"/>
      <c r="K4" s="11"/>
      <c r="L4" s="11"/>
      <c r="M4" s="11"/>
      <c r="N4" s="11"/>
    </row>
    <row r="5" spans="1:14">
      <c r="A5" s="2" t="s">
        <v>2</v>
      </c>
      <c r="B5" s="33">
        <f>B3/B7</f>
        <v>112.13636363636364</v>
      </c>
      <c r="C5" s="33">
        <f>C3/C7</f>
        <v>146.95652173913044</v>
      </c>
      <c r="D5" s="33">
        <f>D3/D7</f>
        <v>149.10638297872342</v>
      </c>
      <c r="E5" s="33">
        <f>E3/E7</f>
        <v>150.28208092485548</v>
      </c>
      <c r="F5" s="33">
        <f t="shared" ref="F5:N5" si="0">F3/F7</f>
        <v>143.25887445887446</v>
      </c>
      <c r="G5" s="33">
        <f t="shared" si="0"/>
        <v>143.71693548387097</v>
      </c>
      <c r="H5" s="33">
        <f t="shared" si="0"/>
        <v>144.29424460431656</v>
      </c>
      <c r="I5" s="33">
        <f t="shared" si="0"/>
        <v>144.49503105590063</v>
      </c>
      <c r="J5" s="33">
        <f t="shared" si="0"/>
        <v>145.9353115727003</v>
      </c>
      <c r="K5" s="33">
        <f t="shared" si="0"/>
        <v>145.62560975609756</v>
      </c>
      <c r="L5" s="33">
        <f t="shared" si="0"/>
        <v>3.1948881789137379E-3</v>
      </c>
      <c r="M5" s="33">
        <f t="shared" si="0"/>
        <v>1</v>
      </c>
      <c r="N5" s="33">
        <f t="shared" si="0"/>
        <v>1</v>
      </c>
    </row>
    <row r="6" spans="1:14">
      <c r="A6" s="13"/>
      <c r="B6" s="11"/>
      <c r="C6" s="11"/>
      <c r="D6" s="23" t="s">
        <v>3</v>
      </c>
      <c r="E6" s="14"/>
      <c r="F6" s="11"/>
      <c r="G6" s="11"/>
      <c r="H6" s="11"/>
      <c r="I6" s="11"/>
      <c r="J6" s="11"/>
      <c r="K6" s="11"/>
      <c r="L6" s="11"/>
      <c r="M6" s="11"/>
      <c r="N6" s="11"/>
    </row>
    <row r="7" spans="1:14">
      <c r="A7" s="2" t="s">
        <v>4</v>
      </c>
      <c r="B7" s="25">
        <v>22</v>
      </c>
      <c r="C7" s="25">
        <v>69</v>
      </c>
      <c r="D7" s="29">
        <v>94</v>
      </c>
      <c r="E7" s="30">
        <v>173</v>
      </c>
      <c r="F7" s="25">
        <v>231</v>
      </c>
      <c r="G7" s="25">
        <v>248</v>
      </c>
      <c r="H7" s="25">
        <v>278</v>
      </c>
      <c r="I7" s="25">
        <v>322</v>
      </c>
      <c r="J7" s="25">
        <v>337</v>
      </c>
      <c r="K7" s="25">
        <v>328</v>
      </c>
      <c r="L7" s="25">
        <v>313</v>
      </c>
      <c r="M7" s="25">
        <v>1</v>
      </c>
      <c r="N7" s="25">
        <v>1</v>
      </c>
    </row>
    <row r="8" spans="1:14">
      <c r="A8" s="13"/>
      <c r="B8" s="11"/>
      <c r="C8" s="11"/>
      <c r="D8" s="12"/>
      <c r="E8" s="15"/>
      <c r="F8" s="11"/>
      <c r="G8" s="11"/>
      <c r="H8" s="11"/>
      <c r="I8" s="11"/>
      <c r="J8" s="11"/>
      <c r="K8" s="11"/>
      <c r="L8" s="11"/>
      <c r="M8" s="11"/>
      <c r="N8" s="11"/>
    </row>
    <row r="9" spans="1:14">
      <c r="A9" s="2" t="s">
        <v>5</v>
      </c>
      <c r="B9" s="25">
        <v>5</v>
      </c>
      <c r="C9" s="25">
        <v>64</v>
      </c>
      <c r="D9" s="29">
        <v>38</v>
      </c>
      <c r="E9" s="30">
        <v>128</v>
      </c>
      <c r="F9" s="30">
        <v>102</v>
      </c>
      <c r="G9" s="25">
        <v>61</v>
      </c>
      <c r="H9" s="25">
        <v>67</v>
      </c>
      <c r="I9" s="25">
        <v>98</v>
      </c>
      <c r="J9" s="25">
        <v>94</v>
      </c>
      <c r="K9" s="25">
        <v>69</v>
      </c>
      <c r="L9" s="25">
        <v>1</v>
      </c>
      <c r="M9" s="25">
        <v>1</v>
      </c>
      <c r="N9" s="25">
        <v>1</v>
      </c>
    </row>
    <row r="10" spans="1:14">
      <c r="A10" s="2" t="s">
        <v>23</v>
      </c>
      <c r="B10" s="25">
        <v>102</v>
      </c>
      <c r="C10" s="25">
        <v>70</v>
      </c>
      <c r="D10" s="29">
        <v>95</v>
      </c>
      <c r="E10" s="30">
        <v>114</v>
      </c>
      <c r="F10" s="30">
        <v>99</v>
      </c>
      <c r="G10" s="25">
        <v>121</v>
      </c>
      <c r="H10" s="25">
        <v>84</v>
      </c>
      <c r="I10" s="25">
        <v>154</v>
      </c>
      <c r="J10" s="25">
        <v>131</v>
      </c>
      <c r="K10" s="25">
        <v>83</v>
      </c>
      <c r="L10" s="25">
        <v>1</v>
      </c>
      <c r="M10" s="25">
        <v>1</v>
      </c>
      <c r="N10" s="25">
        <v>1</v>
      </c>
    </row>
    <row r="11" spans="1:14">
      <c r="A11" s="13"/>
      <c r="B11" s="11"/>
      <c r="C11" s="11"/>
      <c r="D11" s="12"/>
      <c r="E11" s="15"/>
      <c r="F11" s="11"/>
      <c r="G11" s="11"/>
      <c r="H11" s="11"/>
      <c r="I11" s="11"/>
      <c r="J11" s="11"/>
      <c r="K11" s="11"/>
      <c r="L11" s="11"/>
      <c r="M11" s="11"/>
      <c r="N11" s="11"/>
    </row>
    <row r="12" spans="1:14">
      <c r="A12" s="2" t="s">
        <v>6</v>
      </c>
      <c r="B12" s="27">
        <v>3638.16</v>
      </c>
      <c r="C12" s="27">
        <v>3638.1</v>
      </c>
      <c r="D12" s="26">
        <v>9376.2999999999993</v>
      </c>
      <c r="E12" s="27">
        <v>10895.2</v>
      </c>
      <c r="F12" s="27">
        <v>15713.2</v>
      </c>
      <c r="G12" s="41">
        <v>14080.6</v>
      </c>
      <c r="H12" s="27">
        <v>12740</v>
      </c>
      <c r="I12" s="27">
        <v>14271.91</v>
      </c>
      <c r="J12" s="27">
        <v>16151</v>
      </c>
      <c r="K12" s="27">
        <v>14979</v>
      </c>
      <c r="L12" s="27">
        <v>1</v>
      </c>
      <c r="M12" s="27">
        <v>1</v>
      </c>
      <c r="N12" s="27">
        <v>1</v>
      </c>
    </row>
    <row r="13" spans="1:14">
      <c r="A13" s="2" t="s">
        <v>7</v>
      </c>
      <c r="B13" s="33">
        <f>B12/B9</f>
        <v>727.63199999999995</v>
      </c>
      <c r="C13" s="33">
        <f t="shared" ref="C13:M13" si="1">C12/C9</f>
        <v>56.845312499999999</v>
      </c>
      <c r="D13" s="33">
        <f>D12/D9</f>
        <v>246.74473684210525</v>
      </c>
      <c r="E13" s="33">
        <f t="shared" si="1"/>
        <v>85.118750000000006</v>
      </c>
      <c r="F13" s="33">
        <f t="shared" si="1"/>
        <v>154.05098039215687</v>
      </c>
      <c r="G13" s="33">
        <f t="shared" si="1"/>
        <v>230.82950819672132</v>
      </c>
      <c r="H13" s="33">
        <f t="shared" si="1"/>
        <v>190.14925373134329</v>
      </c>
      <c r="I13" s="33">
        <f t="shared" si="1"/>
        <v>145.63173469387755</v>
      </c>
      <c r="J13" s="33">
        <f t="shared" si="1"/>
        <v>171.81914893617022</v>
      </c>
      <c r="K13" s="33">
        <f t="shared" si="1"/>
        <v>217.08695652173913</v>
      </c>
      <c r="L13" s="33">
        <f t="shared" si="1"/>
        <v>1</v>
      </c>
      <c r="M13" s="33">
        <f t="shared" si="1"/>
        <v>1</v>
      </c>
      <c r="N13" s="33">
        <f>N12/N9</f>
        <v>1</v>
      </c>
    </row>
    <row r="14" spans="1:14">
      <c r="A14" s="13"/>
      <c r="B14" s="11"/>
      <c r="C14" s="11"/>
      <c r="D14" s="12"/>
      <c r="E14" s="14"/>
      <c r="F14" s="11"/>
      <c r="G14" s="11"/>
      <c r="H14" s="11"/>
      <c r="I14" s="11"/>
      <c r="J14" s="11"/>
      <c r="K14" s="11"/>
      <c r="L14" s="11"/>
      <c r="M14" s="11"/>
      <c r="N14" s="11"/>
    </row>
    <row r="15" spans="1:14">
      <c r="A15" s="2" t="s">
        <v>10</v>
      </c>
      <c r="B15" s="32" t="e">
        <f t="shared" ref="B15" si="2">B23/A7</f>
        <v>#VALUE!</v>
      </c>
      <c r="C15" s="32">
        <f t="shared" ref="C15:N15" si="3">C23/B7</f>
        <v>0.90909090909090906</v>
      </c>
      <c r="D15" s="32">
        <f>D23/C7</f>
        <v>0.20289855072463769</v>
      </c>
      <c r="E15" s="32">
        <f>E23/D7</f>
        <v>0.47872340425531917</v>
      </c>
      <c r="F15" s="32">
        <f t="shared" si="3"/>
        <v>0.23121387283236994</v>
      </c>
      <c r="G15" s="32">
        <f t="shared" si="3"/>
        <v>0.20346320346320346</v>
      </c>
      <c r="H15" s="32">
        <f t="shared" si="3"/>
        <v>0.15322580645161291</v>
      </c>
      <c r="I15" s="32">
        <f t="shared" si="3"/>
        <v>0.18345323741007194</v>
      </c>
      <c r="J15" s="32">
        <f t="shared" si="3"/>
        <v>0.25155279503105588</v>
      </c>
      <c r="K15" s="32">
        <f t="shared" si="3"/>
        <v>2.967359050445104E-3</v>
      </c>
      <c r="L15" s="32">
        <f t="shared" si="3"/>
        <v>3.0487804878048782E-3</v>
      </c>
      <c r="M15" s="32">
        <f t="shared" si="3"/>
        <v>3.1948881789137379E-3</v>
      </c>
      <c r="N15" s="32">
        <f t="shared" si="3"/>
        <v>1</v>
      </c>
    </row>
    <row r="16" spans="1:14">
      <c r="A16" s="11"/>
      <c r="B16" s="11" t="s">
        <v>25</v>
      </c>
      <c r="C16" s="11" t="s">
        <v>25</v>
      </c>
      <c r="D16" s="12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>
      <c r="A17" s="2" t="s">
        <v>20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spans="1:14">
      <c r="A18" s="1" t="s">
        <v>11</v>
      </c>
      <c r="B18" s="25">
        <v>22</v>
      </c>
      <c r="C18" s="25">
        <v>69</v>
      </c>
      <c r="D18" s="25">
        <v>94</v>
      </c>
      <c r="E18" s="25">
        <v>173</v>
      </c>
      <c r="F18" s="25">
        <v>231</v>
      </c>
      <c r="G18" s="25">
        <v>248</v>
      </c>
      <c r="H18" s="25">
        <v>278</v>
      </c>
      <c r="I18" s="25">
        <v>322</v>
      </c>
      <c r="J18" s="25">
        <v>337</v>
      </c>
      <c r="K18" s="25">
        <v>1</v>
      </c>
      <c r="L18" s="25">
        <v>1</v>
      </c>
      <c r="M18" s="25">
        <v>1</v>
      </c>
      <c r="N18" s="25">
        <v>1</v>
      </c>
    </row>
    <row r="19" spans="1:14">
      <c r="A19" s="1" t="s">
        <v>12</v>
      </c>
      <c r="B19" s="25">
        <v>1</v>
      </c>
      <c r="C19" s="25">
        <v>1</v>
      </c>
      <c r="D19" s="25">
        <v>1</v>
      </c>
      <c r="E19" s="25">
        <v>1</v>
      </c>
      <c r="F19" s="25">
        <v>1</v>
      </c>
      <c r="G19" s="25">
        <v>1</v>
      </c>
      <c r="H19" s="25">
        <v>1</v>
      </c>
      <c r="I19" s="25">
        <v>1</v>
      </c>
      <c r="J19" s="25">
        <v>1</v>
      </c>
      <c r="K19" s="25">
        <v>1</v>
      </c>
      <c r="L19" s="25">
        <v>1</v>
      </c>
      <c r="M19" s="25">
        <v>1</v>
      </c>
      <c r="N19" s="25">
        <v>1</v>
      </c>
    </row>
    <row r="20" spans="1:14">
      <c r="A20" s="1" t="s">
        <v>13</v>
      </c>
      <c r="B20" s="25">
        <v>1</v>
      </c>
      <c r="C20" s="25">
        <v>1</v>
      </c>
      <c r="D20" s="25">
        <v>1</v>
      </c>
      <c r="E20" s="25">
        <v>1</v>
      </c>
      <c r="F20" s="25">
        <v>1</v>
      </c>
      <c r="G20" s="25">
        <v>1</v>
      </c>
      <c r="H20" s="25">
        <v>1</v>
      </c>
      <c r="I20" s="25">
        <v>1</v>
      </c>
      <c r="J20" s="25">
        <v>1</v>
      </c>
      <c r="K20" s="25">
        <v>1</v>
      </c>
      <c r="L20" s="25">
        <v>1</v>
      </c>
      <c r="M20" s="25">
        <v>1</v>
      </c>
      <c r="N20" s="25">
        <v>1</v>
      </c>
    </row>
    <row r="21" spans="1:14">
      <c r="A21" s="1" t="s">
        <v>14</v>
      </c>
      <c r="B21" s="25">
        <v>1</v>
      </c>
      <c r="C21" s="25">
        <v>1</v>
      </c>
      <c r="D21" s="25">
        <v>1</v>
      </c>
      <c r="E21" s="25">
        <v>1</v>
      </c>
      <c r="F21" s="25">
        <v>1</v>
      </c>
      <c r="G21" s="25">
        <v>1</v>
      </c>
      <c r="H21" s="25">
        <v>1</v>
      </c>
      <c r="I21" s="25">
        <v>1</v>
      </c>
      <c r="J21" s="25">
        <v>1</v>
      </c>
      <c r="K21" s="25">
        <v>1</v>
      </c>
      <c r="L21" s="25">
        <v>1</v>
      </c>
      <c r="M21" s="25">
        <v>1</v>
      </c>
      <c r="N21" s="25">
        <v>1</v>
      </c>
    </row>
    <row r="22" spans="1:14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s="20" customFormat="1">
      <c r="A23" s="2" t="s">
        <v>15</v>
      </c>
      <c r="B23" s="25">
        <v>6</v>
      </c>
      <c r="C23" s="25">
        <v>20</v>
      </c>
      <c r="D23" s="25">
        <v>14</v>
      </c>
      <c r="E23" s="25">
        <v>45</v>
      </c>
      <c r="F23" s="25">
        <v>40</v>
      </c>
      <c r="G23" s="25">
        <v>47</v>
      </c>
      <c r="H23" s="25">
        <v>38</v>
      </c>
      <c r="I23" s="25">
        <v>51</v>
      </c>
      <c r="J23" s="25">
        <v>81</v>
      </c>
      <c r="K23" s="25">
        <v>1</v>
      </c>
      <c r="L23" s="25">
        <v>1</v>
      </c>
      <c r="M23" s="25">
        <v>1</v>
      </c>
      <c r="N23" s="25">
        <v>1</v>
      </c>
    </row>
    <row r="24" spans="1:14" s="20" customFormat="1">
      <c r="A24" s="2" t="s">
        <v>24</v>
      </c>
      <c r="B24" s="25"/>
      <c r="C24" s="25">
        <v>14</v>
      </c>
      <c r="D24" s="25">
        <v>66</v>
      </c>
      <c r="E24" s="25">
        <v>22</v>
      </c>
      <c r="F24" s="25">
        <v>10</v>
      </c>
      <c r="G24" s="25">
        <v>38</v>
      </c>
      <c r="H24" s="25">
        <v>44</v>
      </c>
      <c r="I24" s="25">
        <v>82</v>
      </c>
      <c r="J24" s="25">
        <v>53</v>
      </c>
      <c r="K24" s="25"/>
      <c r="L24" s="25"/>
      <c r="M24" s="25"/>
      <c r="N24" s="25"/>
    </row>
    <row r="25" spans="1:14">
      <c r="A25" s="11"/>
      <c r="B25" s="11"/>
      <c r="C25" s="3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>
      <c r="A26" t="s">
        <v>16</v>
      </c>
    </row>
    <row r="28" spans="1:14">
      <c r="A28" s="6" t="s">
        <v>17</v>
      </c>
    </row>
    <row r="29" spans="1:14" ht="26">
      <c r="A29" s="8" t="s">
        <v>18</v>
      </c>
      <c r="B29" s="36">
        <v>3638.16</v>
      </c>
      <c r="C29" s="36">
        <v>3638.16</v>
      </c>
      <c r="D29" s="36">
        <v>9376.2999999999993</v>
      </c>
      <c r="E29" s="36">
        <v>10895.2</v>
      </c>
      <c r="F29" s="38">
        <v>15713.02</v>
      </c>
      <c r="G29" s="40">
        <v>14080.6</v>
      </c>
      <c r="H29" s="42">
        <v>12740</v>
      </c>
      <c r="I29">
        <v>14271.91</v>
      </c>
      <c r="J29" s="27">
        <v>16151</v>
      </c>
      <c r="K29">
        <v>14979</v>
      </c>
    </row>
    <row r="30" spans="1:14">
      <c r="A30" s="8"/>
    </row>
    <row r="31" spans="1:14">
      <c r="A31" s="6" t="s">
        <v>7</v>
      </c>
    </row>
    <row r="32" spans="1:14">
      <c r="A32" s="8" t="s">
        <v>19</v>
      </c>
    </row>
    <row r="33" spans="1:12">
      <c r="A33" s="6"/>
    </row>
    <row r="34" spans="1:12">
      <c r="A34" s="34" t="s">
        <v>21</v>
      </c>
      <c r="L34" s="8"/>
    </row>
    <row r="35" spans="1:12">
      <c r="A35" s="35" t="s">
        <v>22</v>
      </c>
    </row>
    <row r="36" spans="1:12">
      <c r="A36" s="7"/>
    </row>
    <row r="37" spans="1:12">
      <c r="A37" s="7"/>
    </row>
    <row r="38" spans="1:12">
      <c r="A38" s="7"/>
    </row>
    <row r="39" spans="1:12">
      <c r="A39" s="7"/>
    </row>
    <row r="143" spans="10:10">
      <c r="J143" s="16">
        <v>45261</v>
      </c>
    </row>
    <row r="144" spans="10:10">
      <c r="J144" s="11"/>
    </row>
    <row r="145" spans="1:12">
      <c r="J145" s="24">
        <f>302466.68*0.9588</f>
        <v>290005.052784</v>
      </c>
    </row>
    <row r="146" spans="1:12">
      <c r="A146" s="16">
        <v>44986</v>
      </c>
      <c r="B146" s="16">
        <v>45047</v>
      </c>
      <c r="C146" s="16">
        <v>45047</v>
      </c>
      <c r="D146" s="16">
        <v>45078</v>
      </c>
      <c r="E146" s="16">
        <v>45108</v>
      </c>
      <c r="F146" s="16">
        <v>45139</v>
      </c>
      <c r="G146" s="16">
        <v>45170</v>
      </c>
      <c r="H146" s="16">
        <v>45200</v>
      </c>
      <c r="I146" s="16">
        <v>45231</v>
      </c>
      <c r="J146" s="11"/>
      <c r="K146" s="16">
        <v>45292</v>
      </c>
      <c r="L146" s="16">
        <v>45323</v>
      </c>
    </row>
    <row r="147" spans="1:12">
      <c r="A147" s="12"/>
      <c r="B147" s="11"/>
      <c r="C147" s="11"/>
      <c r="D147" s="11"/>
      <c r="E147" s="11"/>
      <c r="F147" s="11"/>
      <c r="G147" s="11"/>
      <c r="H147" s="11"/>
      <c r="I147" s="11"/>
      <c r="J147" s="24">
        <f>249.14*0.9588</f>
        <v>238.87543199999999</v>
      </c>
      <c r="K147" s="11"/>
      <c r="L147" s="11"/>
    </row>
    <row r="148" spans="1:12">
      <c r="A148" s="4">
        <f>346799.24*0.9588</f>
        <v>332511.11131199996</v>
      </c>
      <c r="B148" s="10">
        <f>325157.12*0.9588</f>
        <v>311760.646656</v>
      </c>
      <c r="C148" s="10">
        <f>325157.12*0.9588</f>
        <v>311760.646656</v>
      </c>
      <c r="D148" s="19">
        <f>(269*0.9588*D165)+(D166*0.9588*233.68)+('KPI '!D167*0.9588*199.92)</f>
        <v>303758.07998399995</v>
      </c>
      <c r="E148" s="10">
        <f>283018.32*0.9588</f>
        <v>271357.96521599998</v>
      </c>
      <c r="F148" s="10">
        <f>324538.88*0.9588</f>
        <v>311167.87814400002</v>
      </c>
      <c r="G148" s="10">
        <f>286604.48*0.9588</f>
        <v>274796.37542399997</v>
      </c>
      <c r="H148" s="10">
        <f>320296.46*0.9588</f>
        <v>307100.24584799999</v>
      </c>
      <c r="I148" s="24">
        <f>353002.56*0.9588</f>
        <v>338458.854528</v>
      </c>
      <c r="J148" s="11"/>
      <c r="K148" s="24">
        <f>308924.64*0.9588</f>
        <v>296196.94483200001</v>
      </c>
      <c r="L148" s="24">
        <f>324667.24*0.9588</f>
        <v>311290.94971199997</v>
      </c>
    </row>
    <row r="149" spans="1:12">
      <c r="A149" s="12"/>
      <c r="B149" s="11"/>
      <c r="C149" s="11"/>
      <c r="D149" s="11"/>
      <c r="E149" s="11"/>
      <c r="F149" s="11"/>
      <c r="G149" s="11"/>
      <c r="H149" s="11"/>
      <c r="I149" s="11"/>
      <c r="J149" s="1">
        <v>1215</v>
      </c>
      <c r="K149" s="11"/>
      <c r="L149" s="11"/>
    </row>
    <row r="150" spans="1:12">
      <c r="A150" s="4">
        <f>253.88*0.9588</f>
        <v>243.42014399999999</v>
      </c>
      <c r="B150" s="10">
        <f>251.86*0.9588</f>
        <v>241.48336800000001</v>
      </c>
      <c r="C150" s="10">
        <f>251.86*0.9588</f>
        <v>241.48336800000001</v>
      </c>
      <c r="D150" s="19">
        <f>D148/1261</f>
        <v>240.88666136716887</v>
      </c>
      <c r="E150" s="10">
        <f>249.58*0.9588</f>
        <v>239.297304</v>
      </c>
      <c r="F150" s="10">
        <f>252.17*0.9588</f>
        <v>241.78059599999997</v>
      </c>
      <c r="G150" s="10">
        <f>249.87*0.9588</f>
        <v>239.575356</v>
      </c>
      <c r="H150" s="10">
        <f>250.03*0.9588</f>
        <v>239.72876399999998</v>
      </c>
      <c r="I150" s="24">
        <f>251.24*0.9588</f>
        <v>240.888912</v>
      </c>
      <c r="J150" s="1">
        <v>4696</v>
      </c>
      <c r="K150" s="24">
        <f>251.36*0.9588</f>
        <v>241.00396800000001</v>
      </c>
      <c r="L150" s="24">
        <f>253.44*0.9588</f>
        <v>242.99827199999999</v>
      </c>
    </row>
    <row r="151" spans="1:12">
      <c r="A151" s="23" t="s">
        <v>3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spans="1:12">
      <c r="A152" s="3">
        <v>1366</v>
      </c>
      <c r="B152" s="1">
        <v>1285</v>
      </c>
      <c r="C152" s="1">
        <v>1285</v>
      </c>
      <c r="D152" s="1">
        <v>1261</v>
      </c>
      <c r="E152" s="1">
        <v>1134</v>
      </c>
      <c r="F152" s="1">
        <v>1287</v>
      </c>
      <c r="G152" s="1">
        <v>1148</v>
      </c>
      <c r="H152" s="1">
        <v>1300</v>
      </c>
      <c r="I152" s="1">
        <v>1405</v>
      </c>
      <c r="J152" s="1">
        <v>24</v>
      </c>
      <c r="K152" s="1">
        <v>1230</v>
      </c>
      <c r="L152" s="1">
        <v>1288</v>
      </c>
    </row>
    <row r="153" spans="1:12">
      <c r="A153" s="3">
        <v>2778</v>
      </c>
      <c r="B153" s="1">
        <v>3179</v>
      </c>
      <c r="C153" s="1">
        <v>3179</v>
      </c>
      <c r="D153" s="1">
        <v>3457</v>
      </c>
      <c r="E153" s="1">
        <v>3631</v>
      </c>
      <c r="F153" s="1">
        <v>3829</v>
      </c>
      <c r="G153" s="1">
        <v>4065</v>
      </c>
      <c r="H153" s="1">
        <v>4298</v>
      </c>
      <c r="I153" s="1">
        <v>4507</v>
      </c>
      <c r="J153" s="17">
        <f>J150-I153</f>
        <v>189</v>
      </c>
      <c r="K153" s="1">
        <v>4967</v>
      </c>
      <c r="L153" s="1">
        <v>4939</v>
      </c>
    </row>
    <row r="154" spans="1:12">
      <c r="A154" s="12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spans="1:12">
      <c r="A155" s="3">
        <v>225</v>
      </c>
      <c r="B155" s="9">
        <v>145</v>
      </c>
      <c r="C155" s="9">
        <v>145</v>
      </c>
      <c r="D155" s="1">
        <v>95</v>
      </c>
      <c r="E155" s="1">
        <v>19</v>
      </c>
      <c r="F155" s="1">
        <v>336</v>
      </c>
      <c r="G155" s="1">
        <v>71</v>
      </c>
      <c r="H155" s="1">
        <v>297</v>
      </c>
      <c r="I155" s="1">
        <v>292</v>
      </c>
      <c r="J155" s="19">
        <v>0</v>
      </c>
      <c r="K155" s="1">
        <v>241</v>
      </c>
      <c r="L155" s="1">
        <v>260</v>
      </c>
    </row>
    <row r="156" spans="1:12">
      <c r="A156" s="3" t="e">
        <f>A153-#REF!</f>
        <v>#REF!</v>
      </c>
      <c r="B156" s="17" t="e">
        <f>B153-#REF!</f>
        <v>#REF!</v>
      </c>
      <c r="C156" s="17" t="e">
        <f>C153-#REF!</f>
        <v>#REF!</v>
      </c>
      <c r="D156" s="17">
        <f t="shared" ref="D156" si="4">D153-C153</f>
        <v>278</v>
      </c>
      <c r="E156" s="17">
        <f t="shared" ref="E156" si="5">E153-D153</f>
        <v>174</v>
      </c>
      <c r="F156" s="17">
        <f t="shared" ref="F156" si="6">F153-E153</f>
        <v>198</v>
      </c>
      <c r="G156" s="17">
        <f>G153-F153</f>
        <v>236</v>
      </c>
      <c r="H156" s="17">
        <f t="shared" ref="H156" si="7">H153-G153</f>
        <v>233</v>
      </c>
      <c r="I156" s="17">
        <f>I153-H153</f>
        <v>209</v>
      </c>
      <c r="J156" s="19">
        <f t="shared" ref="J156:L159" si="8">J155/J152</f>
        <v>0</v>
      </c>
      <c r="K156" s="17">
        <f>K153-J150</f>
        <v>271</v>
      </c>
      <c r="L156" s="17">
        <f>L153-K153</f>
        <v>-28</v>
      </c>
    </row>
    <row r="157" spans="1:12">
      <c r="A157" s="12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spans="1:12">
      <c r="A158" s="5">
        <v>43245</v>
      </c>
      <c r="B158" s="10">
        <v>98626.43</v>
      </c>
      <c r="C158" s="10">
        <v>98626.43</v>
      </c>
      <c r="D158" s="10">
        <v>0</v>
      </c>
      <c r="E158" s="10">
        <v>0</v>
      </c>
      <c r="F158" s="19">
        <v>109542</v>
      </c>
      <c r="G158" s="19">
        <v>0</v>
      </c>
      <c r="H158" s="19">
        <v>117891</v>
      </c>
      <c r="I158" s="19">
        <v>137000</v>
      </c>
      <c r="J158" s="1"/>
      <c r="K158" s="19">
        <v>50000</v>
      </c>
      <c r="L158" s="19">
        <v>115873.81</v>
      </c>
    </row>
    <row r="159" spans="1:12">
      <c r="A159" s="5">
        <f>(A158/A155)*0.8</f>
        <v>153.76</v>
      </c>
      <c r="B159" s="5">
        <f>(B158/B155)*0.8</f>
        <v>544.14582068965512</v>
      </c>
      <c r="C159" s="5">
        <f>(C158/C155)*0.8</f>
        <v>544.14582068965512</v>
      </c>
      <c r="D159" s="5">
        <f t="shared" ref="D159:E159" si="9">(D158/D155)*0.8</f>
        <v>0</v>
      </c>
      <c r="E159" s="5">
        <f t="shared" si="9"/>
        <v>0</v>
      </c>
      <c r="F159" s="5">
        <f>(F158/F155)*0.8</f>
        <v>260.81428571428575</v>
      </c>
      <c r="G159" s="5">
        <f>(G158/G155)*0.8</f>
        <v>0</v>
      </c>
      <c r="H159" s="19">
        <f>H158/H155</f>
        <v>396.93939393939394</v>
      </c>
      <c r="I159" s="19">
        <f>I158/I155</f>
        <v>469.17808219178085</v>
      </c>
      <c r="J159" s="22">
        <f>J167/I152</f>
        <v>0.17864768683274021</v>
      </c>
      <c r="K159" s="19">
        <f t="shared" si="8"/>
        <v>207.46887966804979</v>
      </c>
      <c r="L159" s="19">
        <f t="shared" si="8"/>
        <v>445.66849999999999</v>
      </c>
    </row>
    <row r="160" spans="1:12">
      <c r="A160" s="12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>
      <c r="A161" s="3" t="s">
        <v>8</v>
      </c>
      <c r="B161" s="18" t="s">
        <v>9</v>
      </c>
      <c r="C161" s="18" t="s">
        <v>9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21">
        <v>0.19</v>
      </c>
      <c r="B162" s="22" t="e">
        <f>B170/#REF!</f>
        <v>#REF!</v>
      </c>
      <c r="C162" s="22" t="e">
        <f>C170/#REF!</f>
        <v>#REF!</v>
      </c>
      <c r="D162" s="22">
        <f t="shared" ref="D162" si="10">D170/C152</f>
        <v>0.15019455252918287</v>
      </c>
      <c r="E162" s="22">
        <f t="shared" ref="E162" si="11">E170/D152</f>
        <v>0.12133227597145123</v>
      </c>
      <c r="F162" s="22">
        <f t="shared" ref="F162" si="12">F170/E152</f>
        <v>0.17901234567901234</v>
      </c>
      <c r="G162" s="22">
        <f t="shared" ref="G162" si="13">G170/F152</f>
        <v>0.16705516705516704</v>
      </c>
      <c r="H162" s="22">
        <f t="shared" ref="H162" si="14">H170/G152</f>
        <v>0.15331010452961671</v>
      </c>
      <c r="I162" s="22">
        <f t="shared" ref="I162" si="15">I170/H152</f>
        <v>0.12692307692307692</v>
      </c>
      <c r="J162" s="1">
        <v>842</v>
      </c>
      <c r="K162" s="22">
        <f>K170/J149</f>
        <v>0.15555555555555556</v>
      </c>
      <c r="L162" s="22">
        <f t="shared" ref="L162" si="16">L170/K152</f>
        <v>0.19349593495934958</v>
      </c>
    </row>
    <row r="163" spans="1:12">
      <c r="A163" s="12"/>
      <c r="B163" s="11"/>
      <c r="C163" s="11"/>
      <c r="D163" s="11"/>
      <c r="E163" s="11"/>
      <c r="F163" s="11"/>
      <c r="G163" s="11"/>
      <c r="H163" s="11"/>
      <c r="I163" s="11"/>
      <c r="J163" s="1">
        <v>114</v>
      </c>
      <c r="K163" s="11"/>
      <c r="L163" s="1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>
        <v>235</v>
      </c>
      <c r="K164" s="1"/>
      <c r="L164" s="1"/>
    </row>
    <row r="165" spans="1:12">
      <c r="A165" s="1">
        <v>1015</v>
      </c>
      <c r="B165" s="1">
        <v>908</v>
      </c>
      <c r="C165" s="1">
        <v>908</v>
      </c>
      <c r="D165" s="1">
        <v>893</v>
      </c>
      <c r="E165" s="1">
        <v>765</v>
      </c>
      <c r="F165" s="1">
        <v>932</v>
      </c>
      <c r="G165" s="1">
        <v>789</v>
      </c>
      <c r="H165" s="1">
        <v>906</v>
      </c>
      <c r="I165" s="1">
        <v>1023</v>
      </c>
      <c r="J165" s="1">
        <v>23</v>
      </c>
      <c r="K165" s="1">
        <v>886</v>
      </c>
      <c r="L165" s="1">
        <v>958</v>
      </c>
    </row>
    <row r="166" spans="1:12">
      <c r="A166" s="1">
        <v>124</v>
      </c>
      <c r="B166" s="1">
        <v>145</v>
      </c>
      <c r="C166" s="1">
        <v>145</v>
      </c>
      <c r="D166" s="1">
        <v>131</v>
      </c>
      <c r="E166" s="1">
        <v>129</v>
      </c>
      <c r="F166" s="1">
        <v>115</v>
      </c>
      <c r="G166" s="1">
        <v>116</v>
      </c>
      <c r="H166" s="1">
        <v>114</v>
      </c>
      <c r="I166" s="1">
        <v>114</v>
      </c>
      <c r="J166" s="11"/>
      <c r="K166" s="1">
        <v>116</v>
      </c>
      <c r="L166" s="1">
        <v>120</v>
      </c>
    </row>
    <row r="167" spans="1:12">
      <c r="A167" s="1">
        <v>222</v>
      </c>
      <c r="B167" s="1">
        <v>233</v>
      </c>
      <c r="C167" s="1">
        <v>233</v>
      </c>
      <c r="D167" s="1">
        <v>230</v>
      </c>
      <c r="E167" s="1">
        <v>232</v>
      </c>
      <c r="F167" s="1">
        <v>231</v>
      </c>
      <c r="G167" s="1">
        <v>232</v>
      </c>
      <c r="H167" s="1">
        <v>234</v>
      </c>
      <c r="I167" s="1">
        <v>239</v>
      </c>
      <c r="J167" s="1">
        <v>251</v>
      </c>
      <c r="K167" s="1">
        <v>208</v>
      </c>
      <c r="L167" s="1">
        <v>193</v>
      </c>
    </row>
    <row r="168" spans="1:12">
      <c r="A168" s="1">
        <v>5</v>
      </c>
      <c r="B168" s="1">
        <v>7</v>
      </c>
      <c r="C168" s="1">
        <v>7</v>
      </c>
      <c r="D168" s="1">
        <v>7</v>
      </c>
      <c r="E168" s="1">
        <v>8</v>
      </c>
      <c r="F168" s="1">
        <v>9</v>
      </c>
      <c r="G168" s="1">
        <v>10</v>
      </c>
      <c r="H168" s="1">
        <v>27</v>
      </c>
      <c r="I168" s="1">
        <v>29</v>
      </c>
      <c r="J168" s="11"/>
      <c r="K168" s="1">
        <v>19</v>
      </c>
      <c r="L168" s="1">
        <v>17</v>
      </c>
    </row>
    <row r="169" spans="1:12">
      <c r="A169" s="11"/>
      <c r="B169" s="11"/>
      <c r="C169" s="11"/>
      <c r="D169" s="11"/>
      <c r="E169" s="11"/>
      <c r="F169" s="11"/>
      <c r="G169" s="11"/>
      <c r="H169" s="11"/>
      <c r="I169" s="11"/>
      <c r="K169" s="11"/>
      <c r="L169" s="11"/>
    </row>
    <row r="170" spans="1:12">
      <c r="A170" s="1">
        <v>340</v>
      </c>
      <c r="B170" s="1">
        <v>232</v>
      </c>
      <c r="C170" s="1">
        <v>232</v>
      </c>
      <c r="D170" s="1">
        <v>193</v>
      </c>
      <c r="E170" s="1">
        <v>153</v>
      </c>
      <c r="F170" s="1">
        <v>203</v>
      </c>
      <c r="G170" s="1">
        <v>215</v>
      </c>
      <c r="H170" s="1">
        <v>176</v>
      </c>
      <c r="I170" s="1">
        <v>165</v>
      </c>
      <c r="K170" s="1">
        <v>189</v>
      </c>
      <c r="L170" s="1">
        <v>238</v>
      </c>
    </row>
    <row r="171" spans="1:12">
      <c r="A171" s="11"/>
      <c r="B171" s="11"/>
      <c r="C171" s="11"/>
      <c r="D171" s="11"/>
      <c r="E171" s="11"/>
      <c r="F171" s="11"/>
      <c r="G171" s="11"/>
      <c r="H171" s="11"/>
      <c r="I171" s="11"/>
      <c r="J171" s="16">
        <v>45261</v>
      </c>
      <c r="K171" s="11"/>
      <c r="L171" s="11"/>
    </row>
    <row r="172" spans="1:12">
      <c r="J172" s="1">
        <v>1215</v>
      </c>
    </row>
    <row r="174" spans="1:12">
      <c r="A174" s="16">
        <v>44986</v>
      </c>
      <c r="B174" s="16">
        <v>45047</v>
      </c>
      <c r="C174" s="16">
        <v>45047</v>
      </c>
      <c r="D174" s="16">
        <v>45078</v>
      </c>
      <c r="E174" s="16">
        <v>45108</v>
      </c>
      <c r="F174" s="16">
        <v>45139</v>
      </c>
      <c r="G174" s="16">
        <v>45170</v>
      </c>
      <c r="H174" s="16">
        <v>45200</v>
      </c>
      <c r="I174" s="16">
        <v>45231</v>
      </c>
      <c r="K174" s="16">
        <v>45292</v>
      </c>
      <c r="L174" s="16">
        <v>45323</v>
      </c>
    </row>
    <row r="175" spans="1:12">
      <c r="A175" s="3">
        <v>1366</v>
      </c>
      <c r="B175" s="1">
        <v>1285</v>
      </c>
      <c r="C175" s="1">
        <v>1285</v>
      </c>
      <c r="D175" s="1">
        <v>1261</v>
      </c>
      <c r="E175" s="1">
        <v>1134</v>
      </c>
      <c r="F175" s="1">
        <v>1287</v>
      </c>
      <c r="G175" s="1">
        <v>1148</v>
      </c>
      <c r="H175" s="1">
        <v>1300</v>
      </c>
      <c r="I175" s="1">
        <v>1405</v>
      </c>
      <c r="K175" s="1">
        <v>1230</v>
      </c>
      <c r="L175" s="1">
        <v>1288</v>
      </c>
    </row>
    <row r="192" spans="10:10">
      <c r="J192" s="16">
        <v>45261</v>
      </c>
    </row>
    <row r="193" spans="1:12">
      <c r="J193" s="1">
        <v>251</v>
      </c>
    </row>
    <row r="195" spans="1:12">
      <c r="A195" s="16">
        <v>44986</v>
      </c>
      <c r="B195" s="16">
        <v>45047</v>
      </c>
      <c r="C195" s="16">
        <v>45047</v>
      </c>
      <c r="D195" s="16">
        <v>45078</v>
      </c>
      <c r="E195" s="16">
        <v>45108</v>
      </c>
      <c r="F195" s="16">
        <v>45139</v>
      </c>
      <c r="G195" s="16">
        <v>45170</v>
      </c>
      <c r="H195" s="16">
        <v>45200</v>
      </c>
      <c r="I195" s="16">
        <v>45231</v>
      </c>
      <c r="K195" s="16">
        <v>45292</v>
      </c>
      <c r="L195" s="16">
        <v>45323</v>
      </c>
    </row>
    <row r="196" spans="1:12">
      <c r="A196" s="1">
        <v>340</v>
      </c>
      <c r="B196" s="1">
        <v>232</v>
      </c>
      <c r="C196" s="1">
        <v>232</v>
      </c>
      <c r="D196" s="1">
        <v>193</v>
      </c>
      <c r="E196" s="1">
        <v>153</v>
      </c>
      <c r="F196" s="1">
        <v>203</v>
      </c>
      <c r="G196" s="1">
        <v>215</v>
      </c>
      <c r="H196" s="1">
        <v>176</v>
      </c>
      <c r="I196" s="1">
        <v>165</v>
      </c>
      <c r="K196" s="1">
        <v>189</v>
      </c>
      <c r="L196" s="1">
        <v>238</v>
      </c>
    </row>
  </sheetData>
  <phoneticPr fontId="7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37c3e0-a8d7-42e6-9f99-ff84f59df764">
      <Terms xmlns="http://schemas.microsoft.com/office/infopath/2007/PartnerControls"/>
    </lcf76f155ced4ddcb4097134ff3c332f>
    <TaxCatchAll xmlns="e05cad93-287a-47d6-83e8-bb62d5ae8c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B39636D68A95D4A97436360AC42A91C" ma:contentTypeVersion="15" ma:contentTypeDescription="Opret et nyt dokument." ma:contentTypeScope="" ma:versionID="77fab8b8803f53c579e84ebc95220e1c">
  <xsd:schema xmlns:xsd="http://www.w3.org/2001/XMLSchema" xmlns:xs="http://www.w3.org/2001/XMLSchema" xmlns:p="http://schemas.microsoft.com/office/2006/metadata/properties" xmlns:ns2="4137c3e0-a8d7-42e6-9f99-ff84f59df764" xmlns:ns3="e05cad93-287a-47d6-83e8-bb62d5ae8c6e" targetNamespace="http://schemas.microsoft.com/office/2006/metadata/properties" ma:root="true" ma:fieldsID="0b5b731294332a6607ffa9854db78e5a" ns2:_="" ns3:_="">
    <xsd:import namespace="4137c3e0-a8d7-42e6-9f99-ff84f59df764"/>
    <xsd:import namespace="e05cad93-287a-47d6-83e8-bb62d5ae8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7c3e0-a8d7-42e6-9f99-ff84f59d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illedmærker" ma:readOnly="false" ma:fieldId="{5cf76f15-5ced-4ddc-b409-7134ff3c332f}" ma:taxonomyMulti="true" ma:sspId="3e5c86c4-ad5a-44b0-98ac-dc2ee0cf5a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5cad93-287a-47d6-83e8-bb62d5ae8c6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1ef57f8-710b-4b92-b45a-b876b593dcd7}" ma:internalName="TaxCatchAll" ma:showField="CatchAllData" ma:web="e05cad93-287a-47d6-83e8-bb62d5ae8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6E2C25-7CF1-4F9E-9550-F8F99EB7999B}">
  <ds:schemaRefs>
    <ds:schemaRef ds:uri="http://schemas.openxmlformats.org/package/2006/metadata/core-properties"/>
    <ds:schemaRef ds:uri="http://schemas.microsoft.com/office/2006/metadata/properties"/>
    <ds:schemaRef ds:uri="4137c3e0-a8d7-42e6-9f99-ff84f59df764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e05cad93-287a-47d6-83e8-bb62d5ae8c6e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52412C8-BFFC-43E1-9826-781E2913A7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27151-4993-4A18-BDB5-0A39FDB12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37c3e0-a8d7-42e6-9f99-ff84f59df764"/>
    <ds:schemaRef ds:uri="e05cad93-287a-47d6-83e8-bb62d5ae8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KPI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Gitte Hoffmann Hansen</dc:creator>
  <cp:keywords/>
  <dc:description/>
  <cp:lastModifiedBy>Mette Hummel</cp:lastModifiedBy>
  <cp:revision/>
  <dcterms:created xsi:type="dcterms:W3CDTF">2022-03-16T11:21:23Z</dcterms:created>
  <dcterms:modified xsi:type="dcterms:W3CDTF">2025-10-31T07:07:50Z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0x010100BB39636D68A95D4A97436360AC42A91C</vt:lpwstr>
  </property>
  <property fmtid="{D5CDD505-2E9C-101B-9397-08002B2CF9AE}" pid="3" name="MediaServiceImageTags">
    <vt:lpwstr/>
  </property>
</Properties>
</file>